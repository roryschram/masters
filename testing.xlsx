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ryschram/Documents/Work/masters/"/>
    </mc:Choice>
  </mc:AlternateContent>
  <xr:revisionPtr revIDLastSave="0" documentId="13_ncr:1_{589EBA55-3593-564D-A027-FEC28990CB9D}" xr6:coauthVersionLast="47" xr6:coauthVersionMax="47" xr10:uidLastSave="{00000000-0000-0000-0000-000000000000}"/>
  <bookViews>
    <workbookView xWindow="0" yWindow="500" windowWidth="28800" windowHeight="16640" xr2:uid="{B2F224B3-2683-8A46-B4CF-646FB0916998}"/>
  </bookViews>
  <sheets>
    <sheet name="USRP Power" sheetId="4" r:id="rId1"/>
    <sheet name="Communication Testing" sheetId="1" r:id="rId2"/>
    <sheet name="Range Testing" sheetId="2" r:id="rId3"/>
    <sheet name="Classification Testing" sheetId="3" r:id="rId4"/>
  </sheets>
  <definedNames>
    <definedName name="_xlchart.v1.4" hidden="1">'USRP Power'!$D$3</definedName>
    <definedName name="_xlchart.v1.5" hidden="1">'USRP Power'!$D$4:$D$21</definedName>
    <definedName name="_xlchart.v1.6" hidden="1">'USRP Power'!$G$3</definedName>
    <definedName name="_xlchart.v1.7" hidden="1">'USRP Power'!$G$4:$G$21</definedName>
    <definedName name="_xlchart.v2.0" hidden="1">'USRP Power'!$D$3</definedName>
    <definedName name="_xlchart.v2.1" hidden="1">'USRP Power'!$D$4:$D$21</definedName>
    <definedName name="_xlchart.v2.2" hidden="1">'USRP Power'!$G$3</definedName>
    <definedName name="_xlchart.v2.3" hidden="1">'USRP Power'!$G$4:$G$21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</calcChain>
</file>

<file path=xl/sharedStrings.xml><?xml version="1.0" encoding="utf-8"?>
<sst xmlns="http://schemas.openxmlformats.org/spreadsheetml/2006/main" count="12" uniqueCount="11">
  <si>
    <t>Small Loopback</t>
  </si>
  <si>
    <t>Transmit Gain</t>
  </si>
  <si>
    <t>Receive Gain</t>
  </si>
  <si>
    <t>Attenuation</t>
  </si>
  <si>
    <t xml:space="preserve">Test 1 </t>
  </si>
  <si>
    <t>One receive USRP</t>
  </si>
  <si>
    <t>Received dBFS</t>
  </si>
  <si>
    <t>Generated Power dBFS</t>
  </si>
  <si>
    <t>Received dBFS Final</t>
  </si>
  <si>
    <t>received_dBm</t>
  </si>
  <si>
    <t>received_dBFS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</si>
</sst>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'USRP Power'!$G$3</c:f>
              <c:strCache>
                <c:ptCount val="1"/>
                <c:pt idx="0">
                  <c:v>Received dBFS Final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'USRP Power'!$D$4:$D$21</c:f>
              <c:numCache>
                <c:formatCode>General</c:formatCode>
                <c:ptCount val="18"/>
                <c:pt idx="0">
                  <c:v>-100</c:v>
                </c:pt>
                <c:pt idx="1">
                  <c:v>-95</c:v>
                </c:pt>
                <c:pt idx="2">
                  <c:v>-90</c:v>
                </c:pt>
                <c:pt idx="3">
                  <c:v>-85</c:v>
                </c:pt>
                <c:pt idx="4">
                  <c:v>-80</c:v>
                </c:pt>
                <c:pt idx="5">
                  <c:v>-75</c:v>
                </c:pt>
                <c:pt idx="6">
                  <c:v>-70</c:v>
                </c:pt>
                <c:pt idx="7">
                  <c:v>-65</c:v>
                </c:pt>
                <c:pt idx="8">
                  <c:v>-60</c:v>
                </c:pt>
                <c:pt idx="9">
                  <c:v>-55</c:v>
                </c:pt>
                <c:pt idx="10">
                  <c:v>-50</c:v>
                </c:pt>
                <c:pt idx="11">
                  <c:v>-45</c:v>
                </c:pt>
                <c:pt idx="12">
                  <c:v>-40</c:v>
                </c:pt>
                <c:pt idx="13">
                  <c:v>-35</c:v>
                </c:pt>
                <c:pt idx="14">
                  <c:v>-30</c:v>
                </c:pt>
                <c:pt idx="15">
                  <c:v>-25</c:v>
                </c:pt>
                <c:pt idx="16">
                  <c:v>-20</c:v>
                </c:pt>
                <c:pt idx="17">
                  <c:v>-15</c:v>
                </c:pt>
              </c:numCache>
            </c:numRef>
          </c:xVal>
          <c:yVal>
            <c:numRef>
              <c:f>'USRP Power'!$G$4:$G$21</c:f>
              <c:numCache>
                <c:formatCode>General</c:formatCode>
                <c:ptCount val="18"/>
                <c:pt idx="0">
                  <c:v>-100</c:v>
                </c:pt>
                <c:pt idx="1">
                  <c:v>-98.6</c:v>
                </c:pt>
                <c:pt idx="2">
                  <c:v>-95.8</c:v>
                </c:pt>
                <c:pt idx="3">
                  <c:v>-92.5</c:v>
                </c:pt>
                <c:pt idx="4">
                  <c:v>-87.9</c:v>
                </c:pt>
                <c:pt idx="5">
                  <c:v>-83.1</c:v>
                </c:pt>
                <c:pt idx="6">
                  <c:v>-78.099999999999994</c:v>
                </c:pt>
                <c:pt idx="7">
                  <c:v>-72.5</c:v>
                </c:pt>
                <c:pt idx="8">
                  <c:v>-67.5</c:v>
                </c:pt>
                <c:pt idx="9">
                  <c:v>-62.7</c:v>
                </c:pt>
                <c:pt idx="10">
                  <c:v>-57.7</c:v>
                </c:pt>
                <c:pt idx="11">
                  <c:v>-52.8</c:v>
                </c:pt>
                <c:pt idx="12">
                  <c:v>-47.7</c:v>
                </c:pt>
                <c:pt idx="13">
                  <c:v>-43</c:v>
                </c:pt>
                <c:pt idx="14">
                  <c:v>-38</c:v>
                </c:pt>
                <c:pt idx="15">
                  <c:v>-32.900000000000006</c:v>
                </c:pt>
                <c:pt idx="16">
                  <c:v>-27.900000000000006</c:v>
                </c:pt>
                <c:pt idx="17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A4-B14C-9450-C00DF9B63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439759"/>
        <c:axId val="811441471"/>
      </c:scatterChart>
      <c:valAx>
        <c:axId val="81143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Generated</a:t>
                </a:r>
                <a:r>
                  <a:rPr lang="en-GB" baseline="0"/>
                  <a:t> Signal Power (dBm)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41471"/>
        <c:crosses val="autoZero"/>
        <c:crossBetween val="midCat"/>
      </c:valAx>
      <c:valAx>
        <c:axId val="8114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Received Signal Power (dBFS)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3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325120</xdr:colOff>
      <xdr:row>1</xdr:row>
      <xdr:rowOff>86360</xdr:rowOff>
    </xdr:from>
    <xdr:to>
      <xdr:col>15</xdr:col>
      <xdr:colOff>254000</xdr:colOff>
      <xdr:row>21</xdr:row>
      <xdr:rowOff>132080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2C9B069E-A2F8-82B0-E352-5BA89C20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2291-D714-2E42-A83D-A074856BDF39}">
  <dimension ref="A1:G26"/>
  <sheetViews>
    <sheetView tabSelected="1" topLeftCell="A7" zoomScale="125" workbookViewId="0">
      <selection activeCell="E26" sqref="E26"/>
    </sheetView>
  </sheetViews>
  <sheetFormatPr baseColWidth="10" defaultRowHeight="16" x14ac:dyDescent="0.2"/>
  <cols>
    <col min="4" max="4" width="22.83203125" customWidth="1"/>
    <col min="5" max="5" width="14.1640625" customWidth="1"/>
    <col min="6" max="6" width="15.1640625" customWidth="1"/>
    <col min="7" max="7" width="21.33203125" customWidth="1"/>
  </cols>
  <sheetData>
    <row r="1" spans="1:7" x14ac:dyDescent="0.2">
      <c r="A1" s="1" t="s">
        <v>4</v>
      </c>
      <c r="B1" t="s">
        <v>5</v>
      </c>
    </row>
    <row r="3" spans="1:7" x14ac:dyDescent="0.2">
      <c r="D3" t="s">
        <v>7</v>
      </c>
      <c r="E3" t="s">
        <v>3</v>
      </c>
      <c r="F3" t="s">
        <v>6</v>
      </c>
      <c r="G3" t="s">
        <v>8</v>
      </c>
    </row>
    <row r="4" spans="1:7" x14ac:dyDescent="0.2">
      <c r="D4">
        <v>-100</v>
      </c>
      <c r="E4">
        <v>0</v>
      </c>
      <c r="F4">
        <v>-100</v>
      </c>
      <c r="G4">
        <f>F4+E4</f>
        <v>-100</v>
      </c>
    </row>
    <row r="5" spans="1:7" x14ac:dyDescent="0.2">
      <c r="D5">
        <v>-95</v>
      </c>
      <c r="E5">
        <v>0</v>
      </c>
      <c r="F5">
        <v>-98.6</v>
      </c>
      <c r="G5">
        <f t="shared" ref="G5:G21" si="0">F5+E5</f>
        <v>-98.6</v>
      </c>
    </row>
    <row r="6" spans="1:7" x14ac:dyDescent="0.2">
      <c r="D6">
        <v>-90</v>
      </c>
      <c r="E6">
        <v>0</v>
      </c>
      <c r="F6">
        <v>-95.8</v>
      </c>
      <c r="G6">
        <f t="shared" si="0"/>
        <v>-95.8</v>
      </c>
    </row>
    <row r="7" spans="1:7" x14ac:dyDescent="0.2">
      <c r="D7">
        <v>-85</v>
      </c>
      <c r="E7">
        <v>0</v>
      </c>
      <c r="F7">
        <v>-92.5</v>
      </c>
      <c r="G7">
        <f t="shared" si="0"/>
        <v>-92.5</v>
      </c>
    </row>
    <row r="8" spans="1:7" x14ac:dyDescent="0.2">
      <c r="D8">
        <v>-80</v>
      </c>
      <c r="E8">
        <v>0</v>
      </c>
      <c r="F8">
        <v>-87.9</v>
      </c>
      <c r="G8">
        <f t="shared" si="0"/>
        <v>-87.9</v>
      </c>
    </row>
    <row r="9" spans="1:7" x14ac:dyDescent="0.2">
      <c r="D9">
        <v>-75</v>
      </c>
      <c r="E9">
        <v>0</v>
      </c>
      <c r="F9">
        <v>-83.1</v>
      </c>
      <c r="G9">
        <f t="shared" si="0"/>
        <v>-83.1</v>
      </c>
    </row>
    <row r="10" spans="1:7" x14ac:dyDescent="0.2">
      <c r="D10">
        <v>-70</v>
      </c>
      <c r="E10">
        <v>0</v>
      </c>
      <c r="F10">
        <v>-78.099999999999994</v>
      </c>
      <c r="G10">
        <f t="shared" si="0"/>
        <v>-78.099999999999994</v>
      </c>
    </row>
    <row r="11" spans="1:7" x14ac:dyDescent="0.2">
      <c r="D11">
        <v>-65</v>
      </c>
      <c r="E11">
        <v>0</v>
      </c>
      <c r="F11">
        <v>-72.5</v>
      </c>
      <c r="G11">
        <f t="shared" si="0"/>
        <v>-72.5</v>
      </c>
    </row>
    <row r="12" spans="1:7" x14ac:dyDescent="0.2">
      <c r="D12">
        <v>-60</v>
      </c>
      <c r="E12">
        <v>0</v>
      </c>
      <c r="F12">
        <v>-67.5</v>
      </c>
      <c r="G12">
        <f t="shared" si="0"/>
        <v>-67.5</v>
      </c>
    </row>
    <row r="13" spans="1:7" x14ac:dyDescent="0.2">
      <c r="D13">
        <v>-55</v>
      </c>
      <c r="E13">
        <v>0</v>
      </c>
      <c r="F13">
        <v>-62.7</v>
      </c>
      <c r="G13">
        <f t="shared" si="0"/>
        <v>-62.7</v>
      </c>
    </row>
    <row r="14" spans="1:7" x14ac:dyDescent="0.2">
      <c r="D14">
        <v>-50</v>
      </c>
      <c r="E14">
        <v>0</v>
      </c>
      <c r="F14">
        <v>-57.7</v>
      </c>
      <c r="G14">
        <f t="shared" si="0"/>
        <v>-57.7</v>
      </c>
    </row>
    <row r="15" spans="1:7" x14ac:dyDescent="0.2">
      <c r="D15">
        <v>-45</v>
      </c>
      <c r="E15">
        <v>0</v>
      </c>
      <c r="F15">
        <v>-52.8</v>
      </c>
      <c r="G15">
        <f t="shared" si="0"/>
        <v>-52.8</v>
      </c>
    </row>
    <row r="16" spans="1:7" x14ac:dyDescent="0.2">
      <c r="D16">
        <v>-40</v>
      </c>
      <c r="E16">
        <v>0</v>
      </c>
      <c r="F16">
        <v>-47.7</v>
      </c>
      <c r="G16">
        <f t="shared" si="0"/>
        <v>-47.7</v>
      </c>
    </row>
    <row r="17" spans="4:7" x14ac:dyDescent="0.2">
      <c r="D17">
        <v>-35</v>
      </c>
      <c r="E17">
        <v>40</v>
      </c>
      <c r="F17">
        <v>-83</v>
      </c>
      <c r="G17">
        <f t="shared" si="0"/>
        <v>-43</v>
      </c>
    </row>
    <row r="18" spans="4:7" x14ac:dyDescent="0.2">
      <c r="D18">
        <v>-30</v>
      </c>
      <c r="E18">
        <v>40</v>
      </c>
      <c r="F18">
        <v>-78</v>
      </c>
      <c r="G18">
        <f t="shared" si="0"/>
        <v>-38</v>
      </c>
    </row>
    <row r="19" spans="4:7" x14ac:dyDescent="0.2">
      <c r="D19">
        <v>-25</v>
      </c>
      <c r="E19">
        <v>40</v>
      </c>
      <c r="F19">
        <v>-72.900000000000006</v>
      </c>
      <c r="G19">
        <f t="shared" si="0"/>
        <v>-32.900000000000006</v>
      </c>
    </row>
    <row r="20" spans="4:7" x14ac:dyDescent="0.2">
      <c r="D20">
        <v>-20</v>
      </c>
      <c r="E20">
        <v>40</v>
      </c>
      <c r="F20">
        <v>-67.900000000000006</v>
      </c>
      <c r="G20">
        <f t="shared" si="0"/>
        <v>-27.900000000000006</v>
      </c>
    </row>
    <row r="21" spans="4:7" x14ac:dyDescent="0.2">
      <c r="D21">
        <v>-15</v>
      </c>
      <c r="E21">
        <v>40</v>
      </c>
      <c r="F21">
        <v>-63</v>
      </c>
      <c r="G21">
        <f t="shared" si="0"/>
        <v>-23</v>
      </c>
    </row>
    <row r="25" spans="4:7" x14ac:dyDescent="0.2">
      <c r="D25" t="s">
        <v>9</v>
      </c>
      <c r="E25" t="s">
        <v>10</v>
      </c>
    </row>
    <row r="26" spans="4:7" x14ac:dyDescent="0.2">
      <c r="D26">
        <f>(E26+9.7768)/0.9524</f>
        <v>-77.827803443931131</v>
      </c>
      <c r="E26">
        <v>-83.9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8DD6-86B7-2D45-9650-9EE6C1C0ADA5}">
  <dimension ref="A1:D2"/>
  <sheetViews>
    <sheetView workbookViewId="0">
      <selection activeCell="D3" sqref="D3"/>
    </sheetView>
  </sheetViews>
  <sheetFormatPr baseColWidth="10" defaultRowHeight="16" x14ac:dyDescent="0.2"/>
  <cols>
    <col min="1" max="1" width="16.83203125" customWidth="1"/>
    <col min="2" max="2" width="14.6640625" customWidth="1"/>
    <col min="3" max="3" width="13" customWidth="1"/>
    <col min="4" max="4" width="11.5" customWidth="1"/>
  </cols>
  <sheetData>
    <row r="1" spans="1:4" x14ac:dyDescent="0.2">
      <c r="A1" s="1" t="s">
        <v>0</v>
      </c>
    </row>
    <row r="2" spans="1:4" x14ac:dyDescent="0.2">
      <c r="B2" t="s">
        <v>1</v>
      </c>
      <c r="C2" t="s">
        <v>2</v>
      </c>
      <c r="D2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7181-F8F6-5844-9378-97061798346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68BE-0FEC-FD46-A22E-ED18701B82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USRP Power</vt:lpstr>
      <vt:lpstr>Communication Testing</vt:lpstr>
      <vt:lpstr>Range Testing</vt:lpstr>
      <vt:lpstr>Classification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Schram</dc:creator>
  <cp:lastModifiedBy>Rory Schram</cp:lastModifiedBy>
  <dcterms:created xsi:type="dcterms:W3CDTF">2025-07-23T12:36:58Z</dcterms:created>
  <dcterms:modified xsi:type="dcterms:W3CDTF">2025-07-24T23:58:23Z</dcterms:modified>
</cp:coreProperties>
</file>